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ya-Dobriyal\Coursera-Data-Analytics\"/>
    </mc:Choice>
  </mc:AlternateContent>
  <xr:revisionPtr revIDLastSave="0" documentId="13_ncr:1_{13B960EE-CC68-44EC-AC76-6EBF928385C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Table1" sheetId="2" r:id="rId1"/>
    <sheet name="Montgomery_Fleet_Equipment_Inve" sheetId="1" r:id="rId2"/>
  </sheets>
  <definedNames>
    <definedName name="_xlnm._FilterDatabase" localSheetId="1" hidden="1">Montgomery_Fleet_Equipment_Inve!$A$1:$C$50</definedName>
    <definedName name="ExternalData_1" localSheetId="0" hidden="1">Table1!$A$1:$C$50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2" l="1"/>
  <c r="C54" i="2"/>
  <c r="C53" i="2"/>
  <c r="C52" i="2"/>
  <c r="C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5FA823-6087-4476-AF2E-F5F7603B399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<sst xmlns="http://schemas.openxmlformats.org/spreadsheetml/2006/main" count="222" uniqueCount="37">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</sst>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6" fillId="0" borderId="10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[Montgomery_Fleet_Equipment_Inventory_FA_PART_2_START.xlsx]Table1!PivotTable1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803374825671549E-2"/>
          <c:y val="6.4210775736366271E-2"/>
          <c:w val="0.81079026012837507"/>
          <c:h val="0.615123365779810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Table1!$E$54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Table1!$D$55:$D$67</c:f>
              <c:strCache>
                <c:ptCount val="12"/>
                <c:pt idx="0">
                  <c:v>Housing and Community Affairs</c:v>
                </c:pt>
                <c:pt idx="1">
                  <c:v>Human Rights</c:v>
                </c:pt>
                <c:pt idx="2">
                  <c:v>Libraries</c:v>
                </c:pt>
                <c:pt idx="3">
                  <c:v>Liquor Control</c:v>
                </c:pt>
                <c:pt idx="4">
                  <c:v>Office Of Homeland Security</c:v>
                </c:pt>
                <c:pt idx="5">
                  <c:v>Permitting Services</c:v>
                </c:pt>
                <c:pt idx="6">
                  <c:v>Public Information Office</c:v>
                </c:pt>
                <c:pt idx="7">
                  <c:v>Recreation</c:v>
                </c:pt>
                <c:pt idx="8">
                  <c:v>Sheriffs Office</c:v>
                </c:pt>
                <c:pt idx="9">
                  <c:v>State Attorneys Office</c:v>
                </c:pt>
                <c:pt idx="10">
                  <c:v>Technology Services</c:v>
                </c:pt>
                <c:pt idx="11">
                  <c:v>Transportation</c:v>
                </c:pt>
              </c:strCache>
            </c:strRef>
          </c:cat>
          <c:val>
            <c:numRef>
              <c:f>Table1!$E$55:$E$67</c:f>
              <c:numCache>
                <c:formatCode>General</c:formatCode>
                <c:ptCount val="12"/>
                <c:pt idx="0">
                  <c:v>45</c:v>
                </c:pt>
                <c:pt idx="1">
                  <c:v>2</c:v>
                </c:pt>
                <c:pt idx="2">
                  <c:v>6</c:v>
                </c:pt>
                <c:pt idx="3">
                  <c:v>56</c:v>
                </c:pt>
                <c:pt idx="4">
                  <c:v>1</c:v>
                </c:pt>
                <c:pt idx="5">
                  <c:v>109</c:v>
                </c:pt>
                <c:pt idx="6">
                  <c:v>1</c:v>
                </c:pt>
                <c:pt idx="7">
                  <c:v>35</c:v>
                </c:pt>
                <c:pt idx="8">
                  <c:v>85</c:v>
                </c:pt>
                <c:pt idx="9">
                  <c:v>5</c:v>
                </c:pt>
                <c:pt idx="10">
                  <c:v>16</c:v>
                </c:pt>
                <c:pt idx="11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F-423F-813A-2AD02381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890480"/>
        <c:axId val="1133810544"/>
      </c:barChart>
      <c:catAx>
        <c:axId val="184589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10544"/>
        <c:crosses val="autoZero"/>
        <c:auto val="1"/>
        <c:lblAlgn val="ctr"/>
        <c:lblOffset val="100"/>
        <c:noMultiLvlLbl val="0"/>
      </c:catAx>
      <c:valAx>
        <c:axId val="11338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9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32</xdr:row>
      <xdr:rowOff>19050</xdr:rowOff>
    </xdr:from>
    <xdr:to>
      <xdr:col>8</xdr:col>
      <xdr:colOff>490537</xdr:colOff>
      <xdr:row>53</xdr:row>
      <xdr:rowOff>40480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C0E4F-A290-58E8-4112-5688D514F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gdamba Dobriyal" refreshedDate="46035.546584143522" createdVersion="8" refreshedVersion="8" minRefreshableVersion="3" recordCount="49" xr:uid="{F1D8A696-B591-4252-9033-00C14A92F66C}">
  <cacheSource type="worksheet">
    <worksheetSource name="Table1_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/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Pick Up Trucks"/>
    <n v="21"/>
  </r>
  <r>
    <x v="0"/>
    <s v="SUV"/>
    <n v="1"/>
  </r>
  <r>
    <x v="0"/>
    <s v="Sedan"/>
    <n v="23"/>
  </r>
  <r>
    <x v="1"/>
    <s v="Sedan"/>
    <n v="2"/>
  </r>
  <r>
    <x v="2"/>
    <s v="Pick Up Trucks"/>
    <n v="3"/>
  </r>
  <r>
    <x v="2"/>
    <s v="Van"/>
    <n v="2"/>
  </r>
  <r>
    <x v="2"/>
    <s v="Medium Duty"/>
    <n v="1"/>
  </r>
  <r>
    <x v="3"/>
    <s v="Van"/>
    <n v="2"/>
  </r>
  <r>
    <x v="3"/>
    <s v="Heavy Duty"/>
    <n v="42"/>
  </r>
  <r>
    <x v="3"/>
    <s v="SUV"/>
    <n v="1"/>
  </r>
  <r>
    <x v="3"/>
    <s v="Sedan"/>
    <n v="11"/>
  </r>
  <r>
    <x v="4"/>
    <s v="SUV"/>
    <n v="1"/>
  </r>
  <r>
    <x v="5"/>
    <s v="CUV"/>
    <n v="9"/>
  </r>
  <r>
    <x v="5"/>
    <s v="SUV"/>
    <n v="27"/>
  </r>
  <r>
    <x v="5"/>
    <s v="Pick Up Trucks"/>
    <n v="24"/>
  </r>
  <r>
    <x v="5"/>
    <s v="Van"/>
    <n v="1"/>
  </r>
  <r>
    <x v="5"/>
    <s v="Sedan"/>
    <n v="48"/>
  </r>
  <r>
    <x v="6"/>
    <s v="Van"/>
    <n v="1"/>
  </r>
  <r>
    <x v="7"/>
    <s v="Sedan"/>
    <n v="6"/>
  </r>
  <r>
    <x v="7"/>
    <s v="Pick Up Trucks"/>
    <n v="5"/>
  </r>
  <r>
    <x v="7"/>
    <s v="SUV"/>
    <n v="2"/>
  </r>
  <r>
    <x v="7"/>
    <s v="Van"/>
    <n v="15"/>
  </r>
  <r>
    <x v="7"/>
    <s v="Off Road Vehicle Equipment"/>
    <n v="7"/>
  </r>
  <r>
    <x v="8"/>
    <s v="Public Safety SUV"/>
    <n v="20"/>
  </r>
  <r>
    <x v="8"/>
    <s v="Sedan"/>
    <n v="1"/>
  </r>
  <r>
    <x v="8"/>
    <s v="Medium Duty"/>
    <n v="1"/>
  </r>
  <r>
    <x v="8"/>
    <s v="Pick Up Trucks"/>
    <n v="3"/>
  </r>
  <r>
    <x v="8"/>
    <s v="SUV"/>
    <n v="1"/>
  </r>
  <r>
    <x v="8"/>
    <s v="Public Safety Van"/>
    <n v="8"/>
  </r>
  <r>
    <x v="8"/>
    <s v="Public Safety CUV"/>
    <n v="4"/>
  </r>
  <r>
    <x v="8"/>
    <s v="Public Safety Sedan"/>
    <n v="46"/>
  </r>
  <r>
    <x v="8"/>
    <s v="Public Safety Pick Up Trucks"/>
    <n v="1"/>
  </r>
  <r>
    <x v="9"/>
    <s v="Public Safety Sedan"/>
    <n v="1"/>
  </r>
  <r>
    <x v="9"/>
    <s v="Van"/>
    <n v="1"/>
  </r>
  <r>
    <x v="9"/>
    <s v="SUV"/>
    <n v="1"/>
  </r>
  <r>
    <x v="9"/>
    <s v="Sedan"/>
    <n v="2"/>
  </r>
  <r>
    <x v="10"/>
    <s v="Pick Up Trucks"/>
    <n v="1"/>
  </r>
  <r>
    <x v="10"/>
    <s v="CUV"/>
    <n v="1"/>
  </r>
  <r>
    <x v="10"/>
    <s v="Van"/>
    <n v="11"/>
  </r>
  <r>
    <x v="10"/>
    <s v="SUV"/>
    <n v="3"/>
  </r>
  <r>
    <x v="11"/>
    <s v="Pick Up Trucks"/>
    <n v="93"/>
  </r>
  <r>
    <x v="11"/>
    <s v="Heavy Duty"/>
    <n v="248"/>
  </r>
  <r>
    <x v="11"/>
    <s v="Transit Bus"/>
    <n v="379"/>
  </r>
  <r>
    <x v="11"/>
    <s v="SUV"/>
    <n v="53"/>
  </r>
  <r>
    <x v="11"/>
    <s v="Van"/>
    <n v="32"/>
  </r>
  <r>
    <x v="11"/>
    <s v="Medium Duty"/>
    <n v="98"/>
  </r>
  <r>
    <x v="11"/>
    <s v="Off Road Vehicle Equipment"/>
    <n v="276"/>
  </r>
  <r>
    <x v="11"/>
    <s v="CUV"/>
    <n v="5"/>
  </r>
  <r>
    <x v="11"/>
    <s v="Sedan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D4C88-D916-43CF-8434-51D4BE1E522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54:E67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09F6C8-4224-45AD-9E5E-686DFAA0D1D4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Equipment Class" tableColumnId="2"/>
      <queryTableField id="3" name="Equipment 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5AC4B-4432-41DF-B383-73D344E52602}" name="Table1_1" displayName="Table1_1" ref="A1:C51" tableType="queryTable" totalsRowCount="1">
  <autoFilter ref="A1:C50" xr:uid="{B375AC4B-4432-41DF-B383-73D344E52602}"/>
  <tableColumns count="3">
    <tableColumn id="1" xr3:uid="{5A3A27BB-EEAB-4314-BB20-80F0C43DF90E}" uniqueName="1" name="Department" queryTableFieldId="1" dataDxfId="3" totalsRowDxfId="1"/>
    <tableColumn id="2" xr3:uid="{C721A991-3D55-48C7-A943-62A9C3BB3FBF}" uniqueName="2" name="Equipment Class" totalsRowLabel="Sum" queryTableFieldId="2" dataDxfId="2" totalsRowDxfId="0"/>
    <tableColumn id="3" xr3:uid="{27A4EB19-989D-49D9-BF98-3EAE80981503}" uniqueName="3" name="Equipment Count" totalsRowFunction="custom" queryTableFieldId="3">
      <totalsRowFormula>SUM(Table1_1[Equipment Count])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F7A5-4C92-4CFA-97F3-2F42E0723BAE}" name="Table1" displayName="Table1" ref="A1:C50" totalsRowShown="0">
  <autoFilter ref="A1:C50" xr:uid="{F0ECF7A5-4C92-4CFA-97F3-2F42E0723BAE}"/>
  <tableColumns count="3">
    <tableColumn id="1" xr3:uid="{CFE047C1-AB34-4F4E-8195-88DA004950E4}" name="Department"/>
    <tableColumn id="2" xr3:uid="{1CA89DB0-DCFF-4AB0-ACAA-CF7E78C2F8B8}" name="Equipment Class"/>
    <tableColumn id="3" xr3:uid="{4BED1CFE-4843-498A-9BFE-A99FF550C65C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8ABE-F3AC-425F-9028-701952118224}">
  <dimension ref="A1:E67"/>
  <sheetViews>
    <sheetView tabSelected="1" topLeftCell="A37" workbookViewId="0">
      <selection activeCell="E54" sqref="E54"/>
    </sheetView>
  </sheetViews>
  <sheetFormatPr defaultRowHeight="14.25" x14ac:dyDescent="0.45"/>
  <cols>
    <col min="1" max="1" width="25.86328125" bestFit="1" customWidth="1"/>
    <col min="2" max="2" width="23" bestFit="1" customWidth="1"/>
    <col min="3" max="3" width="17.265625" bestFit="1" customWidth="1"/>
    <col min="4" max="4" width="25.86328125" bestFit="1" customWidth="1"/>
    <col min="5" max="5" width="21.39843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5</v>
      </c>
      <c r="B2" s="1" t="s">
        <v>6</v>
      </c>
      <c r="C2">
        <v>21</v>
      </c>
    </row>
    <row r="3" spans="1:3" x14ac:dyDescent="0.45">
      <c r="A3" s="1" t="s">
        <v>5</v>
      </c>
      <c r="B3" s="1" t="s">
        <v>7</v>
      </c>
      <c r="C3">
        <v>1</v>
      </c>
    </row>
    <row r="4" spans="1:3" x14ac:dyDescent="0.45">
      <c r="A4" s="1" t="s">
        <v>5</v>
      </c>
      <c r="B4" s="1" t="s">
        <v>4</v>
      </c>
      <c r="C4">
        <v>23</v>
      </c>
    </row>
    <row r="5" spans="1:3" x14ac:dyDescent="0.45">
      <c r="A5" s="1" t="s">
        <v>8</v>
      </c>
      <c r="B5" s="1" t="s">
        <v>4</v>
      </c>
      <c r="C5">
        <v>2</v>
      </c>
    </row>
    <row r="6" spans="1:3" x14ac:dyDescent="0.45">
      <c r="A6" s="1" t="s">
        <v>9</v>
      </c>
      <c r="B6" s="1" t="s">
        <v>6</v>
      </c>
      <c r="C6">
        <v>3</v>
      </c>
    </row>
    <row r="7" spans="1:3" x14ac:dyDescent="0.45">
      <c r="A7" s="1" t="s">
        <v>9</v>
      </c>
      <c r="B7" s="1" t="s">
        <v>10</v>
      </c>
      <c r="C7">
        <v>2</v>
      </c>
    </row>
    <row r="8" spans="1:3" x14ac:dyDescent="0.45">
      <c r="A8" s="1" t="s">
        <v>9</v>
      </c>
      <c r="B8" s="1" t="s">
        <v>11</v>
      </c>
      <c r="C8">
        <v>1</v>
      </c>
    </row>
    <row r="9" spans="1:3" x14ac:dyDescent="0.45">
      <c r="A9" s="1" t="s">
        <v>12</v>
      </c>
      <c r="B9" s="1" t="s">
        <v>10</v>
      </c>
      <c r="C9">
        <v>2</v>
      </c>
    </row>
    <row r="10" spans="1:3" x14ac:dyDescent="0.45">
      <c r="A10" s="1" t="s">
        <v>12</v>
      </c>
      <c r="B10" s="1" t="s">
        <v>13</v>
      </c>
      <c r="C10">
        <v>42</v>
      </c>
    </row>
    <row r="11" spans="1:3" x14ac:dyDescent="0.45">
      <c r="A11" s="1" t="s">
        <v>12</v>
      </c>
      <c r="B11" s="1" t="s">
        <v>7</v>
      </c>
      <c r="C11">
        <v>1</v>
      </c>
    </row>
    <row r="12" spans="1:3" x14ac:dyDescent="0.45">
      <c r="A12" s="1" t="s">
        <v>12</v>
      </c>
      <c r="B12" s="1" t="s">
        <v>4</v>
      </c>
      <c r="C12">
        <v>11</v>
      </c>
    </row>
    <row r="13" spans="1:3" x14ac:dyDescent="0.45">
      <c r="A13" s="1" t="s">
        <v>14</v>
      </c>
      <c r="B13" s="1" t="s">
        <v>7</v>
      </c>
      <c r="C13">
        <v>1</v>
      </c>
    </row>
    <row r="14" spans="1:3" x14ac:dyDescent="0.45">
      <c r="A14" s="1" t="s">
        <v>15</v>
      </c>
      <c r="B14" s="1" t="s">
        <v>16</v>
      </c>
      <c r="C14">
        <v>9</v>
      </c>
    </row>
    <row r="15" spans="1:3" x14ac:dyDescent="0.45">
      <c r="A15" s="1" t="s">
        <v>15</v>
      </c>
      <c r="B15" s="1" t="s">
        <v>7</v>
      </c>
      <c r="C15">
        <v>27</v>
      </c>
    </row>
    <row r="16" spans="1:3" x14ac:dyDescent="0.45">
      <c r="A16" s="1" t="s">
        <v>15</v>
      </c>
      <c r="B16" s="1" t="s">
        <v>6</v>
      </c>
      <c r="C16">
        <v>24</v>
      </c>
    </row>
    <row r="17" spans="1:3" x14ac:dyDescent="0.45">
      <c r="A17" s="1" t="s">
        <v>15</v>
      </c>
      <c r="B17" s="1" t="s">
        <v>10</v>
      </c>
      <c r="C17">
        <v>1</v>
      </c>
    </row>
    <row r="18" spans="1:3" x14ac:dyDescent="0.45">
      <c r="A18" s="1" t="s">
        <v>15</v>
      </c>
      <c r="B18" s="1" t="s">
        <v>4</v>
      </c>
      <c r="C18">
        <v>48</v>
      </c>
    </row>
    <row r="19" spans="1:3" x14ac:dyDescent="0.45">
      <c r="A19" s="1" t="s">
        <v>17</v>
      </c>
      <c r="B19" s="1" t="s">
        <v>10</v>
      </c>
      <c r="C19">
        <v>1</v>
      </c>
    </row>
    <row r="20" spans="1:3" x14ac:dyDescent="0.45">
      <c r="A20" s="1" t="s">
        <v>18</v>
      </c>
      <c r="B20" s="1" t="s">
        <v>4</v>
      </c>
      <c r="C20">
        <v>6</v>
      </c>
    </row>
    <row r="21" spans="1:3" x14ac:dyDescent="0.45">
      <c r="A21" s="1" t="s">
        <v>18</v>
      </c>
      <c r="B21" s="1" t="s">
        <v>6</v>
      </c>
      <c r="C21">
        <v>5</v>
      </c>
    </row>
    <row r="22" spans="1:3" x14ac:dyDescent="0.45">
      <c r="A22" s="1" t="s">
        <v>18</v>
      </c>
      <c r="B22" s="1" t="s">
        <v>7</v>
      </c>
      <c r="C22">
        <v>2</v>
      </c>
    </row>
    <row r="23" spans="1:3" x14ac:dyDescent="0.45">
      <c r="A23" s="1" t="s">
        <v>18</v>
      </c>
      <c r="B23" s="1" t="s">
        <v>10</v>
      </c>
      <c r="C23">
        <v>15</v>
      </c>
    </row>
    <row r="24" spans="1:3" x14ac:dyDescent="0.45">
      <c r="A24" s="1" t="s">
        <v>18</v>
      </c>
      <c r="B24" s="1" t="s">
        <v>28</v>
      </c>
      <c r="C24">
        <v>7</v>
      </c>
    </row>
    <row r="25" spans="1:3" x14ac:dyDescent="0.45">
      <c r="A25" s="1" t="s">
        <v>19</v>
      </c>
      <c r="B25" s="1" t="s">
        <v>3</v>
      </c>
      <c r="C25">
        <v>20</v>
      </c>
    </row>
    <row r="26" spans="1:3" x14ac:dyDescent="0.45">
      <c r="A26" s="1" t="s">
        <v>19</v>
      </c>
      <c r="B26" s="1" t="s">
        <v>4</v>
      </c>
      <c r="C26">
        <v>1</v>
      </c>
    </row>
    <row r="27" spans="1:3" x14ac:dyDescent="0.45">
      <c r="A27" s="1" t="s">
        <v>19</v>
      </c>
      <c r="B27" s="1" t="s">
        <v>11</v>
      </c>
      <c r="C27">
        <v>1</v>
      </c>
    </row>
    <row r="28" spans="1:3" x14ac:dyDescent="0.45">
      <c r="A28" s="1" t="s">
        <v>19</v>
      </c>
      <c r="B28" s="1" t="s">
        <v>6</v>
      </c>
      <c r="C28">
        <v>3</v>
      </c>
    </row>
    <row r="29" spans="1:3" x14ac:dyDescent="0.45">
      <c r="A29" s="1" t="s">
        <v>19</v>
      </c>
      <c r="B29" s="1" t="s">
        <v>7</v>
      </c>
      <c r="C29">
        <v>1</v>
      </c>
    </row>
    <row r="30" spans="1:3" x14ac:dyDescent="0.45">
      <c r="A30" s="1" t="s">
        <v>19</v>
      </c>
      <c r="B30" s="1" t="s">
        <v>20</v>
      </c>
      <c r="C30">
        <v>8</v>
      </c>
    </row>
    <row r="31" spans="1:3" x14ac:dyDescent="0.45">
      <c r="A31" s="1" t="s">
        <v>19</v>
      </c>
      <c r="B31" s="1" t="s">
        <v>21</v>
      </c>
      <c r="C31">
        <v>4</v>
      </c>
    </row>
    <row r="32" spans="1:3" x14ac:dyDescent="0.45">
      <c r="A32" s="1" t="s">
        <v>19</v>
      </c>
      <c r="B32" s="1" t="s">
        <v>22</v>
      </c>
      <c r="C32">
        <v>46</v>
      </c>
    </row>
    <row r="33" spans="1:3" x14ac:dyDescent="0.45">
      <c r="A33" s="1" t="s">
        <v>19</v>
      </c>
      <c r="B33" s="1" t="s">
        <v>23</v>
      </c>
      <c r="C33">
        <v>1</v>
      </c>
    </row>
    <row r="34" spans="1:3" x14ac:dyDescent="0.45">
      <c r="A34" s="1" t="s">
        <v>24</v>
      </c>
      <c r="B34" s="1" t="s">
        <v>22</v>
      </c>
      <c r="C34">
        <v>1</v>
      </c>
    </row>
    <row r="35" spans="1:3" x14ac:dyDescent="0.45">
      <c r="A35" s="1" t="s">
        <v>24</v>
      </c>
      <c r="B35" s="1" t="s">
        <v>10</v>
      </c>
      <c r="C35">
        <v>1</v>
      </c>
    </row>
    <row r="36" spans="1:3" x14ac:dyDescent="0.45">
      <c r="A36" s="1" t="s">
        <v>24</v>
      </c>
      <c r="B36" s="1" t="s">
        <v>7</v>
      </c>
      <c r="C36">
        <v>1</v>
      </c>
    </row>
    <row r="37" spans="1:3" x14ac:dyDescent="0.45">
      <c r="A37" s="1" t="s">
        <v>24</v>
      </c>
      <c r="B37" s="1" t="s">
        <v>4</v>
      </c>
      <c r="C37">
        <v>2</v>
      </c>
    </row>
    <row r="38" spans="1:3" x14ac:dyDescent="0.45">
      <c r="A38" s="1" t="s">
        <v>25</v>
      </c>
      <c r="B38" s="1" t="s">
        <v>6</v>
      </c>
      <c r="C38">
        <v>1</v>
      </c>
    </row>
    <row r="39" spans="1:3" x14ac:dyDescent="0.45">
      <c r="A39" s="1" t="s">
        <v>25</v>
      </c>
      <c r="B39" s="1" t="s">
        <v>16</v>
      </c>
      <c r="C39">
        <v>1</v>
      </c>
    </row>
    <row r="40" spans="1:3" x14ac:dyDescent="0.45">
      <c r="A40" s="1" t="s">
        <v>25</v>
      </c>
      <c r="B40" s="1" t="s">
        <v>10</v>
      </c>
      <c r="C40">
        <v>11</v>
      </c>
    </row>
    <row r="41" spans="1:3" x14ac:dyDescent="0.45">
      <c r="A41" s="1" t="s">
        <v>25</v>
      </c>
      <c r="B41" s="1" t="s">
        <v>7</v>
      </c>
      <c r="C41">
        <v>3</v>
      </c>
    </row>
    <row r="42" spans="1:3" x14ac:dyDescent="0.45">
      <c r="A42" s="1" t="s">
        <v>26</v>
      </c>
      <c r="B42" s="1" t="s">
        <v>6</v>
      </c>
      <c r="C42">
        <v>93</v>
      </c>
    </row>
    <row r="43" spans="1:3" x14ac:dyDescent="0.45">
      <c r="A43" s="1" t="s">
        <v>26</v>
      </c>
      <c r="B43" s="1" t="s">
        <v>13</v>
      </c>
      <c r="C43">
        <v>248</v>
      </c>
    </row>
    <row r="44" spans="1:3" x14ac:dyDescent="0.45">
      <c r="A44" s="1" t="s">
        <v>26</v>
      </c>
      <c r="B44" s="1" t="s">
        <v>27</v>
      </c>
      <c r="C44">
        <v>379</v>
      </c>
    </row>
    <row r="45" spans="1:3" x14ac:dyDescent="0.45">
      <c r="A45" s="1" t="s">
        <v>26</v>
      </c>
      <c r="B45" s="1" t="s">
        <v>7</v>
      </c>
      <c r="C45">
        <v>53</v>
      </c>
    </row>
    <row r="46" spans="1:3" x14ac:dyDescent="0.45">
      <c r="A46" s="1" t="s">
        <v>26</v>
      </c>
      <c r="B46" s="1" t="s">
        <v>10</v>
      </c>
      <c r="C46">
        <v>32</v>
      </c>
    </row>
    <row r="47" spans="1:3" x14ac:dyDescent="0.45">
      <c r="A47" s="1" t="s">
        <v>26</v>
      </c>
      <c r="B47" s="1" t="s">
        <v>11</v>
      </c>
      <c r="C47">
        <v>98</v>
      </c>
    </row>
    <row r="48" spans="1:3" x14ac:dyDescent="0.45">
      <c r="A48" s="1" t="s">
        <v>26</v>
      </c>
      <c r="B48" s="1" t="s">
        <v>28</v>
      </c>
      <c r="C48">
        <v>276</v>
      </c>
    </row>
    <row r="49" spans="1:5" x14ac:dyDescent="0.45">
      <c r="A49" s="1" t="s">
        <v>26</v>
      </c>
      <c r="B49" s="1" t="s">
        <v>16</v>
      </c>
      <c r="C49">
        <v>5</v>
      </c>
    </row>
    <row r="50" spans="1:5" x14ac:dyDescent="0.45">
      <c r="A50" s="1" t="s">
        <v>26</v>
      </c>
      <c r="B50" s="1" t="s">
        <v>4</v>
      </c>
      <c r="C50">
        <v>37</v>
      </c>
    </row>
    <row r="51" spans="1:5" ht="14.65" thickBot="1" x14ac:dyDescent="0.5">
      <c r="A51" s="1"/>
      <c r="B51" s="1" t="s">
        <v>29</v>
      </c>
      <c r="C51" s="1">
        <f>SUM(Table1_1[Equipment Count])</f>
        <v>1582</v>
      </c>
    </row>
    <row r="52" spans="1:5" ht="15" thickTop="1" thickBot="1" x14ac:dyDescent="0.5">
      <c r="B52" s="2" t="s">
        <v>30</v>
      </c>
      <c r="C52" s="1">
        <f>AVERAGE(Table1_1[Equipment Count])</f>
        <v>32.285714285714285</v>
      </c>
    </row>
    <row r="53" spans="1:5" ht="15" thickTop="1" thickBot="1" x14ac:dyDescent="0.5">
      <c r="B53" s="2" t="s">
        <v>31</v>
      </c>
      <c r="C53" s="1">
        <f>MIN(Table1_1[Equipment Count])</f>
        <v>1</v>
      </c>
    </row>
    <row r="54" spans="1:5" ht="15" thickTop="1" thickBot="1" x14ac:dyDescent="0.5">
      <c r="B54" s="2" t="s">
        <v>32</v>
      </c>
      <c r="C54" s="1">
        <f>MAX(Table1_1[Equipment Count])</f>
        <v>379</v>
      </c>
      <c r="D54" s="3" t="s">
        <v>34</v>
      </c>
      <c r="E54" t="s">
        <v>36</v>
      </c>
    </row>
    <row r="55" spans="1:5" ht="14.65" thickTop="1" x14ac:dyDescent="0.45">
      <c r="B55" s="2" t="s">
        <v>33</v>
      </c>
      <c r="C55" s="1">
        <f>COUNT(Table1_1[Equipment Count])</f>
        <v>49</v>
      </c>
      <c r="D55" s="4" t="s">
        <v>5</v>
      </c>
      <c r="E55" s="1">
        <v>45</v>
      </c>
    </row>
    <row r="56" spans="1:5" x14ac:dyDescent="0.45">
      <c r="D56" s="4" t="s">
        <v>8</v>
      </c>
      <c r="E56" s="1">
        <v>2</v>
      </c>
    </row>
    <row r="57" spans="1:5" x14ac:dyDescent="0.45">
      <c r="D57" s="4" t="s">
        <v>9</v>
      </c>
      <c r="E57" s="1">
        <v>6</v>
      </c>
    </row>
    <row r="58" spans="1:5" x14ac:dyDescent="0.45">
      <c r="D58" s="4" t="s">
        <v>12</v>
      </c>
      <c r="E58" s="1">
        <v>56</v>
      </c>
    </row>
    <row r="59" spans="1:5" x14ac:dyDescent="0.45">
      <c r="D59" s="4" t="s">
        <v>14</v>
      </c>
      <c r="E59" s="1">
        <v>1</v>
      </c>
    </row>
    <row r="60" spans="1:5" x14ac:dyDescent="0.45">
      <c r="D60" s="4" t="s">
        <v>15</v>
      </c>
      <c r="E60" s="1">
        <v>109</v>
      </c>
    </row>
    <row r="61" spans="1:5" x14ac:dyDescent="0.45">
      <c r="D61" s="4" t="s">
        <v>17</v>
      </c>
      <c r="E61" s="1">
        <v>1</v>
      </c>
    </row>
    <row r="62" spans="1:5" x14ac:dyDescent="0.45">
      <c r="D62" s="4" t="s">
        <v>18</v>
      </c>
      <c r="E62" s="1">
        <v>35</v>
      </c>
    </row>
    <row r="63" spans="1:5" x14ac:dyDescent="0.45">
      <c r="D63" s="4" t="s">
        <v>19</v>
      </c>
      <c r="E63" s="1">
        <v>85</v>
      </c>
    </row>
    <row r="64" spans="1:5" x14ac:dyDescent="0.45">
      <c r="D64" s="4" t="s">
        <v>24</v>
      </c>
      <c r="E64" s="1">
        <v>5</v>
      </c>
    </row>
    <row r="65" spans="4:5" x14ac:dyDescent="0.45">
      <c r="D65" s="4" t="s">
        <v>25</v>
      </c>
      <c r="E65" s="1">
        <v>16</v>
      </c>
    </row>
    <row r="66" spans="4:5" x14ac:dyDescent="0.45">
      <c r="D66" s="4" t="s">
        <v>26</v>
      </c>
      <c r="E66" s="1">
        <v>1221</v>
      </c>
    </row>
    <row r="67" spans="4:5" x14ac:dyDescent="0.45">
      <c r="D67" s="4" t="s">
        <v>35</v>
      </c>
      <c r="E67" s="1">
        <v>1582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selection sqref="A1:C50"/>
    </sheetView>
  </sheetViews>
  <sheetFormatPr defaultRowHeight="14.25" x14ac:dyDescent="0.45"/>
  <cols>
    <col min="1" max="1" width="29.3984375" bestFit="1" customWidth="1"/>
    <col min="2" max="2" width="26.1328125" bestFit="1" customWidth="1"/>
    <col min="3" max="3" width="16.8632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5</v>
      </c>
      <c r="B2" t="s">
        <v>6</v>
      </c>
      <c r="C2">
        <v>21</v>
      </c>
    </row>
    <row r="3" spans="1:3" x14ac:dyDescent="0.45">
      <c r="A3" t="s">
        <v>5</v>
      </c>
      <c r="B3" t="s">
        <v>7</v>
      </c>
      <c r="C3">
        <v>1</v>
      </c>
    </row>
    <row r="4" spans="1:3" x14ac:dyDescent="0.45">
      <c r="A4" t="s">
        <v>5</v>
      </c>
      <c r="B4" t="s">
        <v>4</v>
      </c>
      <c r="C4">
        <v>23</v>
      </c>
    </row>
    <row r="5" spans="1:3" x14ac:dyDescent="0.45">
      <c r="A5" t="s">
        <v>8</v>
      </c>
      <c r="B5" t="s">
        <v>4</v>
      </c>
      <c r="C5">
        <v>2</v>
      </c>
    </row>
    <row r="6" spans="1:3" x14ac:dyDescent="0.45">
      <c r="A6" t="s">
        <v>9</v>
      </c>
      <c r="B6" t="s">
        <v>6</v>
      </c>
      <c r="C6">
        <v>3</v>
      </c>
    </row>
    <row r="7" spans="1:3" x14ac:dyDescent="0.45">
      <c r="A7" t="s">
        <v>9</v>
      </c>
      <c r="B7" t="s">
        <v>10</v>
      </c>
      <c r="C7">
        <v>2</v>
      </c>
    </row>
    <row r="8" spans="1:3" x14ac:dyDescent="0.45">
      <c r="A8" t="s">
        <v>9</v>
      </c>
      <c r="B8" t="s">
        <v>11</v>
      </c>
      <c r="C8">
        <v>1</v>
      </c>
    </row>
    <row r="9" spans="1:3" x14ac:dyDescent="0.45">
      <c r="A9" t="s">
        <v>12</v>
      </c>
      <c r="B9" t="s">
        <v>10</v>
      </c>
      <c r="C9">
        <v>2</v>
      </c>
    </row>
    <row r="10" spans="1:3" x14ac:dyDescent="0.45">
      <c r="A10" t="s">
        <v>12</v>
      </c>
      <c r="B10" t="s">
        <v>13</v>
      </c>
      <c r="C10">
        <v>42</v>
      </c>
    </row>
    <row r="11" spans="1:3" x14ac:dyDescent="0.45">
      <c r="A11" t="s">
        <v>12</v>
      </c>
      <c r="B11" t="s">
        <v>7</v>
      </c>
      <c r="C11">
        <v>1</v>
      </c>
    </row>
    <row r="12" spans="1:3" x14ac:dyDescent="0.45">
      <c r="A12" t="s">
        <v>12</v>
      </c>
      <c r="B12" t="s">
        <v>4</v>
      </c>
      <c r="C12">
        <v>11</v>
      </c>
    </row>
    <row r="13" spans="1:3" x14ac:dyDescent="0.45">
      <c r="A13" t="s">
        <v>14</v>
      </c>
      <c r="B13" t="s">
        <v>7</v>
      </c>
      <c r="C13">
        <v>1</v>
      </c>
    </row>
    <row r="14" spans="1:3" x14ac:dyDescent="0.45">
      <c r="A14" t="s">
        <v>15</v>
      </c>
      <c r="B14" t="s">
        <v>16</v>
      </c>
      <c r="C14">
        <v>9</v>
      </c>
    </row>
    <row r="15" spans="1:3" x14ac:dyDescent="0.45">
      <c r="A15" t="s">
        <v>15</v>
      </c>
      <c r="B15" t="s">
        <v>7</v>
      </c>
      <c r="C15">
        <v>27</v>
      </c>
    </row>
    <row r="16" spans="1:3" x14ac:dyDescent="0.45">
      <c r="A16" t="s">
        <v>15</v>
      </c>
      <c r="B16" t="s">
        <v>6</v>
      </c>
      <c r="C16">
        <v>24</v>
      </c>
    </row>
    <row r="17" spans="1:3" x14ac:dyDescent="0.45">
      <c r="A17" t="s">
        <v>15</v>
      </c>
      <c r="B17" t="s">
        <v>10</v>
      </c>
      <c r="C17">
        <v>1</v>
      </c>
    </row>
    <row r="18" spans="1:3" x14ac:dyDescent="0.45">
      <c r="A18" t="s">
        <v>15</v>
      </c>
      <c r="B18" t="s">
        <v>4</v>
      </c>
      <c r="C18">
        <v>48</v>
      </c>
    </row>
    <row r="19" spans="1:3" x14ac:dyDescent="0.45">
      <c r="A19" t="s">
        <v>17</v>
      </c>
      <c r="B19" t="s">
        <v>10</v>
      </c>
      <c r="C19">
        <v>1</v>
      </c>
    </row>
    <row r="20" spans="1:3" x14ac:dyDescent="0.45">
      <c r="A20" t="s">
        <v>18</v>
      </c>
      <c r="B20" t="s">
        <v>4</v>
      </c>
      <c r="C20">
        <v>6</v>
      </c>
    </row>
    <row r="21" spans="1:3" x14ac:dyDescent="0.45">
      <c r="A21" t="s">
        <v>18</v>
      </c>
      <c r="B21" t="s">
        <v>6</v>
      </c>
      <c r="C21">
        <v>5</v>
      </c>
    </row>
    <row r="22" spans="1:3" x14ac:dyDescent="0.45">
      <c r="A22" t="s">
        <v>18</v>
      </c>
      <c r="B22" t="s">
        <v>7</v>
      </c>
      <c r="C22">
        <v>2</v>
      </c>
    </row>
    <row r="23" spans="1:3" x14ac:dyDescent="0.45">
      <c r="A23" t="s">
        <v>18</v>
      </c>
      <c r="B23" t="s">
        <v>10</v>
      </c>
      <c r="C23">
        <v>15</v>
      </c>
    </row>
    <row r="24" spans="1:3" x14ac:dyDescent="0.45">
      <c r="A24" t="s">
        <v>18</v>
      </c>
      <c r="B24" t="s">
        <v>28</v>
      </c>
      <c r="C24">
        <v>7</v>
      </c>
    </row>
    <row r="25" spans="1:3" x14ac:dyDescent="0.45">
      <c r="A25" t="s">
        <v>19</v>
      </c>
      <c r="B25" t="s">
        <v>3</v>
      </c>
      <c r="C25">
        <v>20</v>
      </c>
    </row>
    <row r="26" spans="1:3" x14ac:dyDescent="0.45">
      <c r="A26" t="s">
        <v>19</v>
      </c>
      <c r="B26" t="s">
        <v>4</v>
      </c>
      <c r="C26">
        <v>1</v>
      </c>
    </row>
    <row r="27" spans="1:3" x14ac:dyDescent="0.45">
      <c r="A27" t="s">
        <v>19</v>
      </c>
      <c r="B27" t="s">
        <v>11</v>
      </c>
      <c r="C27">
        <v>1</v>
      </c>
    </row>
    <row r="28" spans="1:3" x14ac:dyDescent="0.45">
      <c r="A28" t="s">
        <v>19</v>
      </c>
      <c r="B28" t="s">
        <v>6</v>
      </c>
      <c r="C28">
        <v>3</v>
      </c>
    </row>
    <row r="29" spans="1:3" x14ac:dyDescent="0.45">
      <c r="A29" t="s">
        <v>19</v>
      </c>
      <c r="B29" t="s">
        <v>7</v>
      </c>
      <c r="C29">
        <v>1</v>
      </c>
    </row>
    <row r="30" spans="1:3" x14ac:dyDescent="0.45">
      <c r="A30" t="s">
        <v>19</v>
      </c>
      <c r="B30" t="s">
        <v>20</v>
      </c>
      <c r="C30">
        <v>8</v>
      </c>
    </row>
    <row r="31" spans="1:3" x14ac:dyDescent="0.45">
      <c r="A31" t="s">
        <v>19</v>
      </c>
      <c r="B31" t="s">
        <v>21</v>
      </c>
      <c r="C31">
        <v>4</v>
      </c>
    </row>
    <row r="32" spans="1:3" x14ac:dyDescent="0.45">
      <c r="A32" t="s">
        <v>19</v>
      </c>
      <c r="B32" t="s">
        <v>22</v>
      </c>
      <c r="C32">
        <v>46</v>
      </c>
    </row>
    <row r="33" spans="1:3" x14ac:dyDescent="0.45">
      <c r="A33" t="s">
        <v>19</v>
      </c>
      <c r="B33" t="s">
        <v>23</v>
      </c>
      <c r="C33">
        <v>1</v>
      </c>
    </row>
    <row r="34" spans="1:3" x14ac:dyDescent="0.45">
      <c r="A34" t="s">
        <v>24</v>
      </c>
      <c r="B34" t="s">
        <v>22</v>
      </c>
      <c r="C34">
        <v>1</v>
      </c>
    </row>
    <row r="35" spans="1:3" x14ac:dyDescent="0.45">
      <c r="A35" t="s">
        <v>24</v>
      </c>
      <c r="B35" t="s">
        <v>10</v>
      </c>
      <c r="C35">
        <v>1</v>
      </c>
    </row>
    <row r="36" spans="1:3" x14ac:dyDescent="0.45">
      <c r="A36" t="s">
        <v>24</v>
      </c>
      <c r="B36" t="s">
        <v>7</v>
      </c>
      <c r="C36">
        <v>1</v>
      </c>
    </row>
    <row r="37" spans="1:3" x14ac:dyDescent="0.45">
      <c r="A37" t="s">
        <v>24</v>
      </c>
      <c r="B37" t="s">
        <v>4</v>
      </c>
      <c r="C37">
        <v>2</v>
      </c>
    </row>
    <row r="38" spans="1:3" x14ac:dyDescent="0.45">
      <c r="A38" t="s">
        <v>25</v>
      </c>
      <c r="B38" t="s">
        <v>6</v>
      </c>
      <c r="C38">
        <v>1</v>
      </c>
    </row>
    <row r="39" spans="1:3" x14ac:dyDescent="0.45">
      <c r="A39" t="s">
        <v>25</v>
      </c>
      <c r="B39" t="s">
        <v>16</v>
      </c>
      <c r="C39">
        <v>1</v>
      </c>
    </row>
    <row r="40" spans="1:3" x14ac:dyDescent="0.45">
      <c r="A40" t="s">
        <v>25</v>
      </c>
      <c r="B40" t="s">
        <v>10</v>
      </c>
      <c r="C40">
        <v>11</v>
      </c>
    </row>
    <row r="41" spans="1:3" x14ac:dyDescent="0.45">
      <c r="A41" t="s">
        <v>25</v>
      </c>
      <c r="B41" t="s">
        <v>7</v>
      </c>
      <c r="C41">
        <v>3</v>
      </c>
    </row>
    <row r="42" spans="1:3" x14ac:dyDescent="0.45">
      <c r="A42" t="s">
        <v>26</v>
      </c>
      <c r="B42" t="s">
        <v>6</v>
      </c>
      <c r="C42">
        <v>93</v>
      </c>
    </row>
    <row r="43" spans="1:3" x14ac:dyDescent="0.45">
      <c r="A43" t="s">
        <v>26</v>
      </c>
      <c r="B43" t="s">
        <v>13</v>
      </c>
      <c r="C43">
        <v>248</v>
      </c>
    </row>
    <row r="44" spans="1:3" x14ac:dyDescent="0.45">
      <c r="A44" t="s">
        <v>26</v>
      </c>
      <c r="B44" t="s">
        <v>27</v>
      </c>
      <c r="C44">
        <v>379</v>
      </c>
    </row>
    <row r="45" spans="1:3" x14ac:dyDescent="0.45">
      <c r="A45" t="s">
        <v>26</v>
      </c>
      <c r="B45" t="s">
        <v>7</v>
      </c>
      <c r="C45">
        <v>53</v>
      </c>
    </row>
    <row r="46" spans="1:3" x14ac:dyDescent="0.45">
      <c r="A46" t="s">
        <v>26</v>
      </c>
      <c r="B46" t="s">
        <v>10</v>
      </c>
      <c r="C46">
        <v>32</v>
      </c>
    </row>
    <row r="47" spans="1:3" x14ac:dyDescent="0.45">
      <c r="A47" t="s">
        <v>26</v>
      </c>
      <c r="B47" t="s">
        <v>11</v>
      </c>
      <c r="C47">
        <v>98</v>
      </c>
    </row>
    <row r="48" spans="1:3" x14ac:dyDescent="0.45">
      <c r="A48" t="s">
        <v>26</v>
      </c>
      <c r="B48" t="s">
        <v>28</v>
      </c>
      <c r="C48">
        <v>276</v>
      </c>
    </row>
    <row r="49" spans="1:3" x14ac:dyDescent="0.45">
      <c r="A49" t="s">
        <v>26</v>
      </c>
      <c r="B49" t="s">
        <v>16</v>
      </c>
      <c r="C49">
        <v>5</v>
      </c>
    </row>
    <row r="50" spans="1:3" x14ac:dyDescent="0.4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537CC-B6C0-4EED-9433-6EA7C7C21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Jagdamba Dobriyal</cp:lastModifiedBy>
  <dcterms:created xsi:type="dcterms:W3CDTF">2020-09-01T17:18:12Z</dcterms:created>
  <dcterms:modified xsi:type="dcterms:W3CDTF">2026-01-13T07:38:44Z</dcterms:modified>
</cp:coreProperties>
</file>